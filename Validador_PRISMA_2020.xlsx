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16" windowWidth="22716" windowHeight="8940"/>
  </bookViews>
  <sheets>
    <sheet name="PRISMA_Check" sheetId="1" r:id="rId1"/>
    <sheet name="CSV_Platform" sheetId="2" r:id="rId2"/>
    <sheet name="Como_usar" sheetId="3" r:id="rId3"/>
  </sheets>
  <calcPr calcId="125725"/>
</workbook>
</file>

<file path=xl/calcChain.xml><?xml version="1.0" encoding="utf-8"?>
<calcChain xmlns="http://schemas.openxmlformats.org/spreadsheetml/2006/main">
  <c r="B25" i="2"/>
  <c r="B24"/>
  <c r="B23"/>
  <c r="B22"/>
  <c r="B18"/>
  <c r="B15"/>
  <c r="B14"/>
  <c r="B13"/>
  <c r="B12"/>
  <c r="B11"/>
  <c r="B10"/>
  <c r="B9"/>
  <c r="B8"/>
  <c r="B7"/>
  <c r="B6"/>
  <c r="B5"/>
  <c r="B4"/>
  <c r="H26" i="1"/>
  <c r="G26"/>
  <c r="F26"/>
  <c r="F25"/>
  <c r="G25" s="1"/>
  <c r="H25" s="1"/>
  <c r="F24"/>
  <c r="G24" s="1"/>
  <c r="H24" s="1"/>
  <c r="F19"/>
  <c r="G19" s="1"/>
  <c r="H19" s="1"/>
  <c r="F17"/>
  <c r="G17" s="1"/>
  <c r="H17" s="1"/>
  <c r="F15"/>
  <c r="G15" s="1"/>
  <c r="H15" s="1"/>
  <c r="H11"/>
  <c r="G11"/>
  <c r="F11"/>
  <c r="F10"/>
  <c r="G10" s="1"/>
  <c r="H10" s="1"/>
  <c r="F9"/>
  <c r="G9" s="1"/>
  <c r="H9" s="1"/>
  <c r="H8"/>
  <c r="G8"/>
  <c r="F8"/>
  <c r="H7"/>
  <c r="G7"/>
  <c r="F7"/>
  <c r="B19" i="2"/>
  <c r="L5" i="1" l="1"/>
  <c r="L6" s="1"/>
</calcChain>
</file>

<file path=xl/sharedStrings.xml><?xml version="1.0" encoding="utf-8"?>
<sst xmlns="http://schemas.openxmlformats.org/spreadsheetml/2006/main" count="182" uniqueCount="146">
  <si>
    <t>Validador PRISMA 2020 — Contabilidade de artigos</t>
  </si>
  <si>
    <t>Preencha os valores na coluna D. A coluna F calcula o valor esperado; a coluna H indica se há erro antes de copiar para a plataforma PRISMA.</t>
  </si>
  <si>
    <t>Etapa</t>
  </si>
  <si>
    <t>Campo PRISMA / Input</t>
  </si>
  <si>
    <t>Significado em português</t>
  </si>
  <si>
    <t>Valor a preencher</t>
  </si>
  <si>
    <t>Regra (+, −, =)</t>
  </si>
  <si>
    <t>Valor esperado</t>
  </si>
  <si>
    <t>Diferença</t>
  </si>
  <si>
    <t>Status</t>
  </si>
  <si>
    <t>Resumo de validação</t>
  </si>
  <si>
    <t>Identificação</t>
  </si>
  <si>
    <t>Web of Science</t>
  </si>
  <si>
    <t>Registos recuperados no WoS</t>
  </si>
  <si>
    <t>Input</t>
  </si>
  <si>
    <t>Valor bruto exportado do WoS</t>
  </si>
  <si>
    <t>Total de erros</t>
  </si>
  <si>
    <t>Scopus</t>
  </si>
  <si>
    <t>Registos recuperados no Scopus</t>
  </si>
  <si>
    <t>Valor bruto exportado do Scopus</t>
  </si>
  <si>
    <t>Status geral</t>
  </si>
  <si>
    <t>Records identified from databases</t>
  </si>
  <si>
    <t>Registos identificados nas bases de dados</t>
  </si>
  <si>
    <t>WoS + Scopus</t>
  </si>
  <si>
    <t>Campo da plataforma: database_results</t>
  </si>
  <si>
    <t>Fórmula 1</t>
  </si>
  <si>
    <t>1050 - 235 - 0 - 5 = 810</t>
  </si>
  <si>
    <t>Records identified from registers</t>
  </si>
  <si>
    <t>Registos identificados em registos</t>
  </si>
  <si>
    <t>usar 0 se não houver</t>
  </si>
  <si>
    <t>Normalmente 0 em Gestão/Marketing/SI</t>
  </si>
  <si>
    <t>Fórmula 2</t>
  </si>
  <si>
    <t>810 - 560 = 250</t>
  </si>
  <si>
    <t>Records identified from websites</t>
  </si>
  <si>
    <t>Registos identificados em websites</t>
  </si>
  <si>
    <t>Usar apenas se houver pesquisa em websites</t>
  </si>
  <si>
    <t>Fórmula 3</t>
  </si>
  <si>
    <t>250 - 16 = 234</t>
  </si>
  <si>
    <t>Records identified from organisations</t>
  </si>
  <si>
    <t>Registos identificados em organizações</t>
  </si>
  <si>
    <t>Ex.: relatórios institucionais</t>
  </si>
  <si>
    <t>Fórmula 4</t>
  </si>
  <si>
    <t>234 - 154 = 80</t>
  </si>
  <si>
    <t>Records identified from citation searching</t>
  </si>
  <si>
    <t>Registos identificados por citações</t>
  </si>
  <si>
    <t>Ex.: backward/forward snowballing</t>
  </si>
  <si>
    <t>Remoção antes da triagem</t>
  </si>
  <si>
    <t>Duplicate records removed</t>
  </si>
  <si>
    <t>Duplicados removidos</t>
  </si>
  <si>
    <t>−</t>
  </si>
  <si>
    <t>Obtido no Zotero/Rayyan/EndNote</t>
  </si>
  <si>
    <t>Records marked as ineligible by automation tools</t>
  </si>
  <si>
    <t>Registos excluídos por ferramenta automática</t>
  </si>
  <si>
    <t>Usar 0 se não utilizou IA/software para excluir</t>
  </si>
  <si>
    <t>Records removed for other reasons</t>
  </si>
  <si>
    <t>Registos removidos por outras razões</t>
  </si>
  <si>
    <t>Ex.: metadados inválidos, erro de exportação</t>
  </si>
  <si>
    <t>Screening</t>
  </si>
  <si>
    <t>Records screened</t>
  </si>
  <si>
    <t>Registos triados por título e resumo</t>
  </si>
  <si>
    <t>Identificados − remoções</t>
  </si>
  <si>
    <t>Este é o número que entra na triagem</t>
  </si>
  <si>
    <t>Records excluded</t>
  </si>
  <si>
    <t>Registos excluídos por título e resumo</t>
  </si>
  <si>
    <t>Tema/área/tipo de documento sem alinhamento inicial</t>
  </si>
  <si>
    <t>Reports sought for retrieval</t>
  </si>
  <si>
    <t>Textos completos procurados</t>
  </si>
  <si>
    <t>Records screened − Records excluded</t>
  </si>
  <si>
    <t>Artigos que passaram para procura do PDF</t>
  </si>
  <si>
    <t>Retrieval</t>
  </si>
  <si>
    <t>Reports not retrieved</t>
  </si>
  <si>
    <t>Textos completos não obtidos</t>
  </si>
  <si>
    <t>PDF indisponível/inacessível</t>
  </si>
  <si>
    <t>Eligibility</t>
  </si>
  <si>
    <t>Reports assessed for eligibility</t>
  </si>
  <si>
    <t>Artigos avaliados integralmente</t>
  </si>
  <si>
    <t>Reports sought − Reports not retrieved</t>
  </si>
  <si>
    <t>Artigos lidos na íntegra</t>
  </si>
  <si>
    <t>Motivos de exclusão</t>
  </si>
  <si>
    <t>Reason 1: Not aligned with research question</t>
  </si>
  <si>
    <t>Motivo 1: não responde à pergunta de investigação</t>
  </si>
  <si>
    <t>Exclusão após leitura integral</t>
  </si>
  <si>
    <t>Reason 2: No empirical evidence</t>
  </si>
  <si>
    <t>Motivo 2: sem evidência empírica</t>
  </si>
  <si>
    <t>Ex.: artigo conceptual sem dados</t>
  </si>
  <si>
    <t>Reason 3: Excessive sector focus</t>
  </si>
  <si>
    <t>Motivo 3: foco sectorial excessivo</t>
  </si>
  <si>
    <t>Ex.: setor muito específico e não comparável</t>
  </si>
  <si>
    <t>Reason 4: Incompatible variables</t>
  </si>
  <si>
    <t>Motivo 4: variáveis incompatíveis</t>
  </si>
  <si>
    <t>Não mede os construtos de interesse</t>
  </si>
  <si>
    <t>Reports excluded</t>
  </si>
  <si>
    <t>Artigos excluídos após leitura integral</t>
  </si>
  <si>
    <t>Soma dos motivos de exclusão</t>
  </si>
  <si>
    <t>Deve ser igual à soma dos motivos</t>
  </si>
  <si>
    <t>Included</t>
  </si>
  <si>
    <t>Studies included in review</t>
  </si>
  <si>
    <t>Estudos incluídos na revisão</t>
  </si>
  <si>
    <t>Reports assessed − Reports excluded</t>
  </si>
  <si>
    <t>Conjunto final analisado na revisão</t>
  </si>
  <si>
    <t>Reports of included studies</t>
  </si>
  <si>
    <t>Relatórios/artigos dos estudos incluídos</t>
  </si>
  <si>
    <t>Igual a Studies included</t>
  </si>
  <si>
    <t>Normalmente igual a Studies included</t>
  </si>
  <si>
    <t>data</t>
  </si>
  <si>
    <t>n</t>
  </si>
  <si>
    <t>previous_studies</t>
  </si>
  <si>
    <t>previous_reports</t>
  </si>
  <si>
    <t>database_results</t>
  </si>
  <si>
    <t>register_results</t>
  </si>
  <si>
    <t>website_results</t>
  </si>
  <si>
    <t>organisation_results</t>
  </si>
  <si>
    <t>citations_results</t>
  </si>
  <si>
    <t>duplicates</t>
  </si>
  <si>
    <t>excluded_automatic</t>
  </si>
  <si>
    <t>excluded_other</t>
  </si>
  <si>
    <t>records_screened</t>
  </si>
  <si>
    <t>records_excluded</t>
  </si>
  <si>
    <t>dbr_sought_reports</t>
  </si>
  <si>
    <t>dbr_notretrieved_reports</t>
  </si>
  <si>
    <t>other_sought_reports</t>
  </si>
  <si>
    <t>other_notretrieved_reports</t>
  </si>
  <si>
    <t>dbr_assessed</t>
  </si>
  <si>
    <t>dbr_excluded</t>
  </si>
  <si>
    <t>other_assessed</t>
  </si>
  <si>
    <t>other_excluded</t>
  </si>
  <si>
    <t>new_studies</t>
  </si>
  <si>
    <t>new_reports</t>
  </si>
  <si>
    <t>total_studies</t>
  </si>
  <si>
    <t>total_reports</t>
  </si>
  <si>
    <t>Como usar o validador PRISMA</t>
  </si>
  <si>
    <t>1</t>
  </si>
  <si>
    <t>Preencha/alterar apenas os valores da coluna D na folha PRISMA_Check.</t>
  </si>
  <si>
    <t>2</t>
  </si>
  <si>
    <t>As células amarelas são os valores que os alunos colocariam manualmente na plataforma.</t>
  </si>
  <si>
    <t>3</t>
  </si>
  <si>
    <t>A coluna F calcula o valor esperado para as caixas dependentes.</t>
  </si>
  <si>
    <t>4</t>
  </si>
  <si>
    <t>A coluna H mostra OK ou ERRO. Se aparecer ERRO, a contabilidade do PRISMA não fecha.</t>
  </si>
  <si>
    <t>5</t>
  </si>
  <si>
    <t>A folha CSV_Platform replica os campos do CSV da plataforma PRISMA.</t>
  </si>
  <si>
    <t>6</t>
  </si>
  <si>
    <t>Para alterar os motivos, modifique as quatro linhas Reason na folha PRISMA_Check.</t>
  </si>
  <si>
    <t>7</t>
  </si>
  <si>
    <t>Só importe para a plataforma quando o Status geral indicar PRONTO PARA A PLATAFORMA.</t>
  </si>
  <si>
    <t>Explicação</t>
  </si>
</sst>
</file>

<file path=xl/styles.xml><?xml version="1.0" encoding="utf-8"?>
<styleSheet xmlns="http://schemas.openxmlformats.org/spreadsheetml/2006/main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0" fillId="4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/>
    <xf numFmtId="0" fontId="2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5">
    <dxf>
      <fill>
        <patternFill patternType="solid">
          <fgColor indexed="64"/>
          <bgColor theme="1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006100"/>
      </font>
      <fill>
        <patternFill patternType="solid">
          <bgColor rgb="FFD9EAD3"/>
        </patternFill>
      </fill>
    </dxf>
    <dxf>
      <font>
        <b/>
        <color rgb="FF990000"/>
      </font>
      <fill>
        <patternFill patternType="solid">
          <bgColor rgb="FFF4CC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PrismaCheckTable" displayName="PrismaCheckTable" ref="A4:I26" headerRowDxfId="0">
  <tableColumns count="9">
    <tableColumn id="1" name="Etapa"/>
    <tableColumn id="2" name="Campo PRISMA / Input"/>
    <tableColumn id="3" name="Significado em português"/>
    <tableColumn id="4" name="Valor a preencher"/>
    <tableColumn id="5" name="Regra (+, −, =)"/>
    <tableColumn id="6" name="Valor esperado"/>
    <tableColumn id="7" name="Diferença"/>
    <tableColumn id="8" name="Status"/>
    <tableColumn id="9" name="Explic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SVPlatformTable" displayName="CSVPlatformTable" ref="A1:B25">
  <tableColumns count="2">
    <tableColumn id="1" name="data"/>
    <tableColumn id="2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zoomScale="90" zoomScaleNormal="90" workbookViewId="0">
      <selection activeCell="E12" sqref="E12"/>
    </sheetView>
  </sheetViews>
  <sheetFormatPr defaultRowHeight="13.8"/>
  <cols>
    <col min="1" max="1" width="22" customWidth="1"/>
    <col min="2" max="2" width="40" customWidth="1"/>
    <col min="3" max="3" width="38" customWidth="1"/>
    <col min="4" max="4" width="14" customWidth="1"/>
    <col min="5" max="5" width="30" customWidth="1"/>
    <col min="6" max="6" width="12" customWidth="1"/>
    <col min="7" max="7" width="7.8984375" customWidth="1"/>
    <col min="8" max="8" width="5.19921875" customWidth="1"/>
    <col min="9" max="9" width="42" customWidth="1"/>
  </cols>
  <sheetData>
    <row r="1" spans="1:26">
      <c r="A1" s="6" t="s">
        <v>0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26">
      <c r="A3" s="2"/>
      <c r="B3" s="2"/>
      <c r="C3" s="2"/>
      <c r="D3" s="2"/>
      <c r="E3" s="2"/>
      <c r="F3" s="2"/>
      <c r="G3" s="2"/>
      <c r="H3" s="2"/>
      <c r="I3" s="2"/>
    </row>
    <row r="4" spans="1:26" ht="27.6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145</v>
      </c>
      <c r="K4" t="s">
        <v>10</v>
      </c>
    </row>
    <row r="5" spans="1:26">
      <c r="A5" s="2" t="s">
        <v>11</v>
      </c>
      <c r="B5" s="2" t="s">
        <v>12</v>
      </c>
      <c r="C5" s="2" t="s">
        <v>13</v>
      </c>
      <c r="D5" s="3">
        <v>412</v>
      </c>
      <c r="E5" s="2"/>
      <c r="F5" s="4"/>
      <c r="G5" s="4"/>
      <c r="H5" s="4" t="s">
        <v>14</v>
      </c>
      <c r="I5" s="2" t="s">
        <v>15</v>
      </c>
      <c r="K5" t="s">
        <v>16</v>
      </c>
      <c r="L5">
        <f>COUNTIF(H5:H26,"ERRO")</f>
        <v>0</v>
      </c>
    </row>
    <row r="6" spans="1:26">
      <c r="A6" s="2" t="s">
        <v>11</v>
      </c>
      <c r="B6" s="2" t="s">
        <v>17</v>
      </c>
      <c r="C6" s="2" t="s">
        <v>18</v>
      </c>
      <c r="D6" s="3">
        <v>638</v>
      </c>
      <c r="E6" s="2"/>
      <c r="F6" s="4"/>
      <c r="G6" s="4"/>
      <c r="H6" s="4" t="s">
        <v>14</v>
      </c>
      <c r="I6" s="2" t="s">
        <v>19</v>
      </c>
      <c r="K6" t="s">
        <v>20</v>
      </c>
      <c r="L6" t="str">
        <f>IF(L5=0,"PRONTO PARA A PLATAFORMA","CORRIGIR ANTES DE IMPORTAR")</f>
        <v>PRONTO PARA A PLATAFORMA</v>
      </c>
    </row>
    <row r="7" spans="1:26">
      <c r="A7" s="2" t="s">
        <v>11</v>
      </c>
      <c r="B7" s="2" t="s">
        <v>21</v>
      </c>
      <c r="C7" s="2" t="s">
        <v>22</v>
      </c>
      <c r="D7" s="3">
        <v>1050</v>
      </c>
      <c r="E7" s="2" t="s">
        <v>23</v>
      </c>
      <c r="F7" s="4">
        <f>D5+D6</f>
        <v>1050</v>
      </c>
      <c r="G7" s="4">
        <f>D7-F7</f>
        <v>0</v>
      </c>
      <c r="H7" s="4" t="str">
        <f>IF(G7=0,"OK","ERRO")</f>
        <v>OK</v>
      </c>
      <c r="I7" s="2" t="s">
        <v>24</v>
      </c>
      <c r="K7" t="s">
        <v>25</v>
      </c>
      <c r="L7" t="s">
        <v>26</v>
      </c>
    </row>
    <row r="8" spans="1:26">
      <c r="A8" s="2" t="s">
        <v>11</v>
      </c>
      <c r="B8" s="2" t="s">
        <v>27</v>
      </c>
      <c r="C8" s="2" t="s">
        <v>28</v>
      </c>
      <c r="D8" s="3">
        <v>0</v>
      </c>
      <c r="E8" s="2" t="s">
        <v>29</v>
      </c>
      <c r="F8" s="4">
        <f>0</f>
        <v>0</v>
      </c>
      <c r="G8" s="4">
        <f>D8-F8</f>
        <v>0</v>
      </c>
      <c r="H8" s="4" t="str">
        <f>IF(G8=0,"OK","ERRO")</f>
        <v>OK</v>
      </c>
      <c r="I8" s="2" t="s">
        <v>30</v>
      </c>
      <c r="K8" t="s">
        <v>31</v>
      </c>
      <c r="L8" t="s">
        <v>32</v>
      </c>
    </row>
    <row r="9" spans="1:26">
      <c r="A9" s="2" t="s">
        <v>11</v>
      </c>
      <c r="B9" s="2" t="s">
        <v>33</v>
      </c>
      <c r="C9" s="2" t="s">
        <v>34</v>
      </c>
      <c r="D9" s="3">
        <v>0</v>
      </c>
      <c r="E9" s="2" t="s">
        <v>29</v>
      </c>
      <c r="F9" s="4">
        <f>0</f>
        <v>0</v>
      </c>
      <c r="G9" s="4">
        <f>D9-F9</f>
        <v>0</v>
      </c>
      <c r="H9" s="4" t="str">
        <f>IF(G9=0,"OK","ERRO")</f>
        <v>OK</v>
      </c>
      <c r="I9" s="2" t="s">
        <v>35</v>
      </c>
      <c r="K9" t="s">
        <v>36</v>
      </c>
      <c r="L9" t="s">
        <v>37</v>
      </c>
    </row>
    <row r="10" spans="1:26">
      <c r="A10" s="2" t="s">
        <v>11</v>
      </c>
      <c r="B10" s="2" t="s">
        <v>38</v>
      </c>
      <c r="C10" s="2" t="s">
        <v>39</v>
      </c>
      <c r="D10" s="3">
        <v>0</v>
      </c>
      <c r="E10" s="2" t="s">
        <v>29</v>
      </c>
      <c r="F10" s="4">
        <f>0</f>
        <v>0</v>
      </c>
      <c r="G10" s="4">
        <f>D10-F10</f>
        <v>0</v>
      </c>
      <c r="H10" s="4" t="str">
        <f>IF(G10=0,"OK","ERRO")</f>
        <v>OK</v>
      </c>
      <c r="I10" s="2" t="s">
        <v>40</v>
      </c>
      <c r="K10" t="s">
        <v>41</v>
      </c>
      <c r="L10" t="s">
        <v>42</v>
      </c>
    </row>
    <row r="11" spans="1:26">
      <c r="A11" s="2" t="s">
        <v>11</v>
      </c>
      <c r="B11" s="2" t="s">
        <v>43</v>
      </c>
      <c r="C11" s="2" t="s">
        <v>44</v>
      </c>
      <c r="D11" s="3">
        <v>0</v>
      </c>
      <c r="E11" s="2" t="s">
        <v>29</v>
      </c>
      <c r="F11" s="4">
        <f>0</f>
        <v>0</v>
      </c>
      <c r="G11" s="4">
        <f>D11-F11</f>
        <v>0</v>
      </c>
      <c r="H11" s="4" t="str">
        <f>IF(G11=0,"OK","ERRO")</f>
        <v>OK</v>
      </c>
      <c r="I11" s="2" t="s">
        <v>45</v>
      </c>
    </row>
    <row r="12" spans="1:26" ht="27.6">
      <c r="A12" s="2" t="s">
        <v>46</v>
      </c>
      <c r="B12" s="2" t="s">
        <v>47</v>
      </c>
      <c r="C12" s="2" t="s">
        <v>48</v>
      </c>
      <c r="D12" s="3">
        <v>235</v>
      </c>
      <c r="E12" s="2" t="s">
        <v>49</v>
      </c>
      <c r="F12" s="4"/>
      <c r="G12" s="4"/>
      <c r="H12" s="4" t="s">
        <v>14</v>
      </c>
      <c r="I12" s="2" t="s">
        <v>50</v>
      </c>
    </row>
    <row r="13" spans="1:26" ht="27.6">
      <c r="A13" s="2" t="s">
        <v>46</v>
      </c>
      <c r="B13" s="2" t="s">
        <v>51</v>
      </c>
      <c r="C13" s="2" t="s">
        <v>52</v>
      </c>
      <c r="D13" s="3">
        <v>0</v>
      </c>
      <c r="E13" s="2" t="s">
        <v>49</v>
      </c>
      <c r="F13" s="4"/>
      <c r="G13" s="4"/>
      <c r="H13" s="4" t="s">
        <v>14</v>
      </c>
      <c r="I13" s="2" t="s">
        <v>53</v>
      </c>
    </row>
    <row r="14" spans="1:26" ht="27.6">
      <c r="A14" s="2" t="s">
        <v>46</v>
      </c>
      <c r="B14" s="2" t="s">
        <v>54</v>
      </c>
      <c r="C14" s="2" t="s">
        <v>55</v>
      </c>
      <c r="D14" s="3">
        <v>5</v>
      </c>
      <c r="E14" s="2" t="s">
        <v>49</v>
      </c>
      <c r="F14" s="4"/>
      <c r="G14" s="4"/>
      <c r="H14" s="4" t="s">
        <v>14</v>
      </c>
      <c r="I14" s="2" t="s">
        <v>56</v>
      </c>
    </row>
    <row r="15" spans="1:26">
      <c r="A15" s="2" t="s">
        <v>57</v>
      </c>
      <c r="B15" s="2" t="s">
        <v>58</v>
      </c>
      <c r="C15" s="2" t="s">
        <v>59</v>
      </c>
      <c r="D15" s="3">
        <v>810</v>
      </c>
      <c r="E15" s="2" t="s">
        <v>60</v>
      </c>
      <c r="F15" s="4">
        <f>SUM(D7:D11)-SUM(D12:D14)</f>
        <v>810</v>
      </c>
      <c r="G15" s="4">
        <f>D15-F15</f>
        <v>0</v>
      </c>
      <c r="H15" s="4" t="str">
        <f>IF(G15=0,"OK","ERRO")</f>
        <v>OK</v>
      </c>
      <c r="I15" s="2" t="s">
        <v>61</v>
      </c>
    </row>
    <row r="16" spans="1:26" ht="27.6">
      <c r="A16" s="2" t="s">
        <v>57</v>
      </c>
      <c r="B16" s="2" t="s">
        <v>62</v>
      </c>
      <c r="C16" s="2" t="s">
        <v>63</v>
      </c>
      <c r="D16" s="3">
        <v>560</v>
      </c>
      <c r="E16" s="2" t="s">
        <v>49</v>
      </c>
      <c r="F16" s="4"/>
      <c r="G16" s="4"/>
      <c r="H16" s="4" t="s">
        <v>14</v>
      </c>
      <c r="I16" s="2" t="s">
        <v>64</v>
      </c>
    </row>
    <row r="17" spans="1:9" ht="27.6">
      <c r="A17" s="2" t="s">
        <v>57</v>
      </c>
      <c r="B17" s="2" t="s">
        <v>65</v>
      </c>
      <c r="C17" s="2" t="s">
        <v>66</v>
      </c>
      <c r="D17" s="3">
        <v>250</v>
      </c>
      <c r="E17" s="2" t="s">
        <v>67</v>
      </c>
      <c r="F17" s="4">
        <f>D15-D16</f>
        <v>250</v>
      </c>
      <c r="G17" s="4">
        <f>D17-F17</f>
        <v>0</v>
      </c>
      <c r="H17" s="4" t="str">
        <f>IF(G17=0,"OK","ERRO")</f>
        <v>OK</v>
      </c>
      <c r="I17" s="2" t="s">
        <v>68</v>
      </c>
    </row>
    <row r="18" spans="1:9">
      <c r="A18" s="2" t="s">
        <v>69</v>
      </c>
      <c r="B18" s="2" t="s">
        <v>70</v>
      </c>
      <c r="C18" s="2" t="s">
        <v>71</v>
      </c>
      <c r="D18" s="3">
        <v>16</v>
      </c>
      <c r="E18" s="2" t="s">
        <v>49</v>
      </c>
      <c r="F18" s="4"/>
      <c r="G18" s="4"/>
      <c r="H18" s="4" t="s">
        <v>14</v>
      </c>
      <c r="I18" s="2" t="s">
        <v>72</v>
      </c>
    </row>
    <row r="19" spans="1:9" ht="27.6">
      <c r="A19" s="2" t="s">
        <v>73</v>
      </c>
      <c r="B19" s="2" t="s">
        <v>74</v>
      </c>
      <c r="C19" s="2" t="s">
        <v>75</v>
      </c>
      <c r="D19" s="3">
        <v>234</v>
      </c>
      <c r="E19" s="2" t="s">
        <v>76</v>
      </c>
      <c r="F19" s="4">
        <f>D17-D18</f>
        <v>234</v>
      </c>
      <c r="G19" s="4">
        <f>D19-F19</f>
        <v>0</v>
      </c>
      <c r="H19" s="4" t="str">
        <f>IF(G19=0,"OK","ERRO")</f>
        <v>OK</v>
      </c>
      <c r="I19" s="2" t="s">
        <v>77</v>
      </c>
    </row>
    <row r="20" spans="1:9" ht="27.6">
      <c r="A20" s="2" t="s">
        <v>78</v>
      </c>
      <c r="B20" s="2" t="s">
        <v>79</v>
      </c>
      <c r="C20" s="2" t="s">
        <v>80</v>
      </c>
      <c r="D20" s="3">
        <v>82</v>
      </c>
      <c r="E20" s="2" t="s">
        <v>49</v>
      </c>
      <c r="F20" s="4"/>
      <c r="G20" s="4"/>
      <c r="H20" s="4" t="s">
        <v>14</v>
      </c>
      <c r="I20" s="2" t="s">
        <v>81</v>
      </c>
    </row>
    <row r="21" spans="1:9">
      <c r="A21" s="2" t="s">
        <v>78</v>
      </c>
      <c r="B21" s="2" t="s">
        <v>82</v>
      </c>
      <c r="C21" s="2" t="s">
        <v>83</v>
      </c>
      <c r="D21" s="3">
        <v>34</v>
      </c>
      <c r="E21" s="2" t="s">
        <v>49</v>
      </c>
      <c r="F21" s="4"/>
      <c r="G21" s="4"/>
      <c r="H21" s="4" t="s">
        <v>14</v>
      </c>
      <c r="I21" s="2" t="s">
        <v>84</v>
      </c>
    </row>
    <row r="22" spans="1:9">
      <c r="A22" s="2" t="s">
        <v>78</v>
      </c>
      <c r="B22" s="2" t="s">
        <v>85</v>
      </c>
      <c r="C22" s="2" t="s">
        <v>86</v>
      </c>
      <c r="D22" s="3">
        <v>21</v>
      </c>
      <c r="E22" s="2" t="s">
        <v>49</v>
      </c>
      <c r="F22" s="4"/>
      <c r="G22" s="4"/>
      <c r="H22" s="4" t="s">
        <v>14</v>
      </c>
      <c r="I22" s="2" t="s">
        <v>87</v>
      </c>
    </row>
    <row r="23" spans="1:9">
      <c r="A23" s="2" t="s">
        <v>78</v>
      </c>
      <c r="B23" s="2" t="s">
        <v>88</v>
      </c>
      <c r="C23" s="2" t="s">
        <v>89</v>
      </c>
      <c r="D23" s="3">
        <v>17</v>
      </c>
      <c r="E23" s="2" t="s">
        <v>49</v>
      </c>
      <c r="F23" s="4"/>
      <c r="G23" s="4"/>
      <c r="H23" s="4" t="s">
        <v>14</v>
      </c>
      <c r="I23" s="2" t="s">
        <v>90</v>
      </c>
    </row>
    <row r="24" spans="1:9">
      <c r="A24" s="2" t="s">
        <v>73</v>
      </c>
      <c r="B24" s="2" t="s">
        <v>91</v>
      </c>
      <c r="C24" s="2" t="s">
        <v>92</v>
      </c>
      <c r="D24" s="3">
        <v>154</v>
      </c>
      <c r="E24" s="2" t="s">
        <v>93</v>
      </c>
      <c r="F24" s="4">
        <f>SUM(D20:D23)</f>
        <v>154</v>
      </c>
      <c r="G24" s="4">
        <f>D24-F24</f>
        <v>0</v>
      </c>
      <c r="H24" s="4" t="str">
        <f>IF(G24=0,"OK","ERRO")</f>
        <v>OK</v>
      </c>
      <c r="I24" s="2" t="s">
        <v>94</v>
      </c>
    </row>
    <row r="25" spans="1:9" ht="27.6">
      <c r="A25" s="2" t="s">
        <v>95</v>
      </c>
      <c r="B25" s="2" t="s">
        <v>96</v>
      </c>
      <c r="C25" s="2" t="s">
        <v>97</v>
      </c>
      <c r="D25" s="3">
        <v>80</v>
      </c>
      <c r="E25" s="2" t="s">
        <v>98</v>
      </c>
      <c r="F25" s="4">
        <f>D19-D24</f>
        <v>80</v>
      </c>
      <c r="G25" s="4">
        <f>D25-F25</f>
        <v>0</v>
      </c>
      <c r="H25" s="4" t="str">
        <f>IF(G25=0,"OK","ERRO")</f>
        <v>OK</v>
      </c>
      <c r="I25" s="2" t="s">
        <v>99</v>
      </c>
    </row>
    <row r="26" spans="1:9">
      <c r="A26" s="2" t="s">
        <v>95</v>
      </c>
      <c r="B26" s="2" t="s">
        <v>100</v>
      </c>
      <c r="C26" s="2" t="s">
        <v>101</v>
      </c>
      <c r="D26" s="3">
        <v>80</v>
      </c>
      <c r="E26" s="2" t="s">
        <v>102</v>
      </c>
      <c r="F26" s="4">
        <f>D25</f>
        <v>80</v>
      </c>
      <c r="G26" s="4">
        <f>D26-F26</f>
        <v>0</v>
      </c>
      <c r="H26" s="4" t="str">
        <f>IF(G26=0,"OK","ERRO")</f>
        <v>OK</v>
      </c>
      <c r="I26" s="2" t="s">
        <v>103</v>
      </c>
    </row>
  </sheetData>
  <mergeCells count="2">
    <mergeCell ref="A1:I1"/>
    <mergeCell ref="A2:I2"/>
  </mergeCells>
  <conditionalFormatting sqref="H5:H26">
    <cfRule type="expression" dxfId="4" priority="1">
      <formula>H5="ERRO"</formula>
    </cfRule>
    <cfRule type="expression" dxfId="3" priority="2">
      <formula>H5="OK"</formula>
    </cfRule>
  </conditionalFormatting>
  <conditionalFormatting sqref="L6">
    <cfRule type="expression" dxfId="2" priority="3">
      <formula>L6="CORRIGIR ANTES DE IMPORTAR"</formula>
    </cfRule>
    <cfRule type="expression" dxfId="1" priority="4">
      <formula>L6="PRONTO PARA A PLATAFORMA"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3.8"/>
  <cols>
    <col min="1" max="1" width="32" customWidth="1"/>
    <col min="2" max="2" width="90" customWidth="1"/>
  </cols>
  <sheetData>
    <row r="1" spans="1:26">
      <c r="A1" s="5" t="s">
        <v>104</v>
      </c>
      <c r="B1" s="5" t="s">
        <v>105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106</v>
      </c>
      <c r="B2">
        <v>0</v>
      </c>
    </row>
    <row r="3" spans="1:26">
      <c r="A3" t="s">
        <v>107</v>
      </c>
      <c r="B3">
        <v>0</v>
      </c>
    </row>
    <row r="4" spans="1:26">
      <c r="A4" t="s">
        <v>108</v>
      </c>
      <c r="B4">
        <f>PRISMA_Check!D7</f>
        <v>1050</v>
      </c>
    </row>
    <row r="5" spans="1:26">
      <c r="A5" t="s">
        <v>109</v>
      </c>
      <c r="B5">
        <f>PRISMA_Check!D8</f>
        <v>0</v>
      </c>
    </row>
    <row r="6" spans="1:26">
      <c r="A6" t="s">
        <v>110</v>
      </c>
      <c r="B6">
        <f>PRISMA_Check!D9</f>
        <v>0</v>
      </c>
    </row>
    <row r="7" spans="1:26">
      <c r="A7" t="s">
        <v>111</v>
      </c>
      <c r="B7">
        <f>PRISMA_Check!D10</f>
        <v>0</v>
      </c>
    </row>
    <row r="8" spans="1:26">
      <c r="A8" t="s">
        <v>112</v>
      </c>
      <c r="B8">
        <f>PRISMA_Check!D11</f>
        <v>0</v>
      </c>
    </row>
    <row r="9" spans="1:26">
      <c r="A9" t="s">
        <v>113</v>
      </c>
      <c r="B9">
        <f>PRISMA_Check!D12</f>
        <v>235</v>
      </c>
    </row>
    <row r="10" spans="1:26">
      <c r="A10" t="s">
        <v>114</v>
      </c>
      <c r="B10">
        <f>PRISMA_Check!D13</f>
        <v>0</v>
      </c>
    </row>
    <row r="11" spans="1:26">
      <c r="A11" t="s">
        <v>115</v>
      </c>
      <c r="B11">
        <f>PRISMA_Check!D14</f>
        <v>5</v>
      </c>
    </row>
    <row r="12" spans="1:26">
      <c r="A12" t="s">
        <v>116</v>
      </c>
      <c r="B12">
        <f>PRISMA_Check!D15</f>
        <v>810</v>
      </c>
    </row>
    <row r="13" spans="1:26">
      <c r="A13" t="s">
        <v>117</v>
      </c>
      <c r="B13">
        <f>PRISMA_Check!D16</f>
        <v>560</v>
      </c>
    </row>
    <row r="14" spans="1:26">
      <c r="A14" t="s">
        <v>118</v>
      </c>
      <c r="B14">
        <f>PRISMA_Check!D17</f>
        <v>250</v>
      </c>
    </row>
    <row r="15" spans="1:26">
      <c r="A15" t="s">
        <v>119</v>
      </c>
      <c r="B15">
        <f>PRISMA_Check!D18</f>
        <v>16</v>
      </c>
    </row>
    <row r="16" spans="1:26">
      <c r="A16" t="s">
        <v>120</v>
      </c>
      <c r="B16">
        <v>0</v>
      </c>
    </row>
    <row r="17" spans="1:2">
      <c r="A17" t="s">
        <v>121</v>
      </c>
      <c r="B17">
        <v>0</v>
      </c>
    </row>
    <row r="18" spans="1:2">
      <c r="A18" t="s">
        <v>122</v>
      </c>
      <c r="B18">
        <f>PRISMA_Check!D19</f>
        <v>234</v>
      </c>
    </row>
    <row r="19" spans="1:2">
      <c r="A19" t="s">
        <v>123</v>
      </c>
      <c r="B19" t="e">
        <f ca="1">CONCAT("Not aligned with research question, ",PRISMA_Check!D20,"; No empirical evidence, ",PRISMA_Check!D21,"; Excessive sector focus, ",PRISMA_Check!D22,"; Incompatible variables, ",PRISMA_Check!D23)</f>
        <v>#NAME?</v>
      </c>
    </row>
    <row r="20" spans="1:2">
      <c r="A20" t="s">
        <v>124</v>
      </c>
      <c r="B20">
        <v>0</v>
      </c>
    </row>
    <row r="21" spans="1:2">
      <c r="A21" t="s">
        <v>125</v>
      </c>
      <c r="B21">
        <v>0</v>
      </c>
    </row>
    <row r="22" spans="1:2">
      <c r="A22" t="s">
        <v>126</v>
      </c>
      <c r="B22">
        <f>PRISMA_Check!D25</f>
        <v>80</v>
      </c>
    </row>
    <row r="23" spans="1:2">
      <c r="A23" t="s">
        <v>127</v>
      </c>
      <c r="B23">
        <f>PRISMA_Check!D26</f>
        <v>80</v>
      </c>
    </row>
    <row r="24" spans="1:2">
      <c r="A24" t="s">
        <v>128</v>
      </c>
      <c r="B24">
        <f>PRISMA_Check!D25</f>
        <v>80</v>
      </c>
    </row>
    <row r="25" spans="1:2">
      <c r="A25" t="s">
        <v>129</v>
      </c>
      <c r="B25">
        <f>PRISMA_Check!D26</f>
        <v>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Z9"/>
  <sheetViews>
    <sheetView workbookViewId="0">
      <selection sqref="A1:F1"/>
    </sheetView>
  </sheetViews>
  <sheetFormatPr defaultRowHeight="13.8"/>
  <cols>
    <col min="1" max="1" width="8" customWidth="1"/>
    <col min="2" max="2" width="90" customWidth="1"/>
  </cols>
  <sheetData>
    <row r="1" spans="1:26">
      <c r="A1" s="8" t="s">
        <v>130</v>
      </c>
      <c r="B1" s="8"/>
      <c r="C1" s="8"/>
      <c r="D1" s="8"/>
      <c r="E1" s="8"/>
      <c r="F1" s="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2" t="s">
        <v>131</v>
      </c>
      <c r="B3" s="2" t="s">
        <v>132</v>
      </c>
    </row>
    <row r="4" spans="1:26">
      <c r="A4" s="2" t="s">
        <v>133</v>
      </c>
      <c r="B4" s="2" t="s">
        <v>134</v>
      </c>
    </row>
    <row r="5" spans="1:26">
      <c r="A5" s="2" t="s">
        <v>135</v>
      </c>
      <c r="B5" s="2" t="s">
        <v>136</v>
      </c>
    </row>
    <row r="6" spans="1:26">
      <c r="A6" s="2" t="s">
        <v>137</v>
      </c>
      <c r="B6" s="2" t="s">
        <v>138</v>
      </c>
    </row>
    <row r="7" spans="1:26">
      <c r="A7" s="2" t="s">
        <v>139</v>
      </c>
      <c r="B7" s="2" t="s">
        <v>140</v>
      </c>
    </row>
    <row r="8" spans="1:26">
      <c r="A8" s="2" t="s">
        <v>141</v>
      </c>
      <c r="B8" s="2" t="s">
        <v>142</v>
      </c>
    </row>
    <row r="9" spans="1:26">
      <c r="A9" s="2" t="s">
        <v>143</v>
      </c>
      <c r="B9" s="2" t="s">
        <v>144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PRISMA_Check</vt:lpstr>
      <vt:lpstr>CSV_Platform</vt:lpstr>
      <vt:lpstr>Como_usar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Farias</dc:creator>
  <cp:lastModifiedBy>Silvio Farias</cp:lastModifiedBy>
  <dcterms:created xsi:type="dcterms:W3CDTF">2026-06-16T08:55:05Z</dcterms:created>
  <dcterms:modified xsi:type="dcterms:W3CDTF">2026-06-16T08:55:05Z</dcterms:modified>
</cp:coreProperties>
</file>